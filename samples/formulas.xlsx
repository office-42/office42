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ula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<sst xmlns="http://schemas.openxmlformats.org/spreadsheetml/2006/main" count="129" uniqueCount="123">
  <si>
    <t xml:space="preserve">Row</t>
  </si>
  <si>
    <t xml:space="preserve">Product</t>
  </si>
  <si>
    <t xml:space="preserve">Region</t>
  </si>
  <si>
    <t xml:space="preserve">Amount</t>
  </si>
  <si>
    <t xml:space="preserve">Units</t>
  </si>
  <si>
    <t xml:space="preserve">Date</t>
  </si>
  <si>
    <t xml:space="preserve">Widget</t>
  </si>
  <si>
    <t xml:space="preserve">North</t>
  </si>
  <si>
    <t xml:space="preserve">Gadget</t>
  </si>
  <si>
    <t xml:space="preserve">South</t>
  </si>
  <si>
    <t xml:space="preserve">Doohickey</t>
  </si>
  <si>
    <t xml:space="preserve">Sprocket</t>
  </si>
  <si>
    <t xml:space="preserve">East</t>
  </si>
  <si>
    <t xml:space="preserve">Flange</t>
  </si>
  <si>
    <t xml:space="preserve">Grommet</t>
  </si>
  <si>
    <t xml:space="preserve">Bracket</t>
  </si>
  <si>
    <t xml:space="preserve">West</t>
  </si>
  <si>
    <t xml:space="preserve">Washer</t>
  </si>
  <si>
    <t xml:space="preserve">Bearing</t>
  </si>
  <si>
    <t xml:space="preserve">Coupling</t>
  </si>
  <si>
    <t xml:space="preserve">What</t>
  </si>
  <si>
    <t xml:space="preserve">Formula</t>
  </si>
  <si>
    <t xml:space="preserve">Value</t>
  </si>
  <si>
    <t xml:space="preserve">SUM</t>
  </si>
  <si>
    <t xml:space="preserve">'SUM(D2:D11)</t>
  </si>
  <si>
    <t xml:space="preserve">AVERAGE</t>
  </si>
  <si>
    <t xml:space="preserve">'AVERAGE(D2:D11)</t>
  </si>
  <si>
    <t xml:space="preserve">MEDIAN</t>
  </si>
  <si>
    <t xml:space="preserve">'MEDIAN(D2:D11)</t>
  </si>
  <si>
    <t xml:space="preserve">STDEV</t>
  </si>
  <si>
    <t xml:space="preserve">'STDEV(D2:D11)</t>
  </si>
  <si>
    <t xml:space="preserve">MIN and MAX</t>
  </si>
  <si>
    <t xml:space="preserve">'MIN(D2:D11)*MAX(D2:D11)</t>
  </si>
  <si>
    <t xml:space="preserve">COUNT and COUNTA</t>
  </si>
  <si>
    <t xml:space="preserve">'COUNT(D2:D11)+COUNTA(B2:B11)</t>
  </si>
  <si>
    <t xml:space="preserve">COUNTIF</t>
  </si>
  <si>
    <t xml:space="preserve">'COUNTIF(C2:C11,"North")</t>
  </si>
  <si>
    <t xml:space="preserve">SUMIF</t>
  </si>
  <si>
    <t xml:space="preserve">'SUMIF(C2:C11,"North",D2:D11)</t>
  </si>
  <si>
    <t xml:space="preserve">SUMIFS</t>
  </si>
  <si>
    <t xml:space="preserve">'SUMIFS(D2:D11,C2:C11,"South",D2:D11,"&gt;100")</t>
  </si>
  <si>
    <t xml:space="preserve">AVERAGEIF</t>
  </si>
  <si>
    <t xml:space="preserve">'AVERAGEIF(C2:C11,"North",D2:D11)</t>
  </si>
  <si>
    <t xml:space="preserve">SUMPRODUCT</t>
  </si>
  <si>
    <t xml:space="preserve">'SUMPRODUCT(D2:D11,E2:E11)</t>
  </si>
  <si>
    <t xml:space="preserve">VLOOKUP exact</t>
  </si>
  <si>
    <t xml:space="preserve">'VLOOKUP("Gadget",B2:D11,3,FALSE())</t>
  </si>
  <si>
    <t xml:space="preserve">INDEX and MATCH</t>
  </si>
  <si>
    <t xml:space="preserve">'INDEX(D2:D11,MATCH("Widget",B2:B11,0))</t>
  </si>
  <si>
    <t xml:space="preserve">IF and AND</t>
  </si>
  <si>
    <t xml:space="preserve">'IF(AND(D2&gt;100,C2="North"),"yes","no")</t>
  </si>
  <si>
    <t xml:space="preserve">IFS-like nesting</t>
  </si>
  <si>
    <t xml:space="preserve">'IF(D2&gt;500,"big",IF(D2&gt;100,"middling","small"))</t>
  </si>
  <si>
    <t xml:space="preserve">ROUND family</t>
  </si>
  <si>
    <t xml:space="preserve">'ROUND(D2,1)+ROUNDUP(D3,0)+ROUNDDOWN(D4,0)</t>
  </si>
  <si>
    <t xml:space="preserve">MOD and INT</t>
  </si>
  <si>
    <t xml:space="preserve">'MOD(17,5)*INT(7.9)</t>
  </si>
  <si>
    <t xml:space="preserve">POWER and SQRT</t>
  </si>
  <si>
    <t xml:space="preserve">'POWER(2,10)+SQRT(144)</t>
  </si>
  <si>
    <t xml:space="preserve">LOG and EXP</t>
  </si>
  <si>
    <t xml:space="preserve">'LN(EXP(3))+LOG10(1000)</t>
  </si>
  <si>
    <t xml:space="preserve">Trigonometry</t>
  </si>
  <si>
    <t xml:space="preserve">'SIN(PI()/6)+COS(0)+TAN(PI()/4)</t>
  </si>
  <si>
    <t xml:space="preserve">TEXT</t>
  </si>
  <si>
    <t xml:space="preserve">'TEXT(1234.567,"#,##0.00")</t>
  </si>
  <si>
    <t xml:space="preserve">CONCATENATE</t>
  </si>
  <si>
    <t xml:space="preserve">'CONCATENATE(B2," in ",C2)</t>
  </si>
  <si>
    <t xml:space="preserve">LEFT MID RIGHT</t>
  </si>
  <si>
    <t xml:space="preserve">'LEFT(B2,3)&amp;MID(B2,2,2)&amp;RIGHT(B2,2)</t>
  </si>
  <si>
    <t xml:space="preserve">LEN TRIM UPPER</t>
  </si>
  <si>
    <t xml:space="preserve">'LEN(TRIM("  a b  "))&amp;UPPER("x")</t>
  </si>
  <si>
    <t xml:space="preserve">SUBSTITUTE</t>
  </si>
  <si>
    <t xml:space="preserve">'SUBSTITUTE("a-b-c","-","+")</t>
  </si>
  <si>
    <t xml:space="preserve">FIND and SEARCH</t>
  </si>
  <si>
    <t xml:space="preserve">'FIND("d",B2)+SEARCH("D",B2)</t>
  </si>
  <si>
    <t xml:space="preserve">DATE parts</t>
  </si>
  <si>
    <t xml:space="preserve">'YEAR(F2)*10000+MONTH(F2)*100+DAY(F2)</t>
  </si>
  <si>
    <t xml:space="preserve">EOMONTH</t>
  </si>
  <si>
    <t xml:space="preserve">'DAY(EOMONTH(F2,1))</t>
  </si>
  <si>
    <t xml:space="preserve">WEEKDAY</t>
  </si>
  <si>
    <t xml:space="preserve">'WEEKDAY(F2,2)</t>
  </si>
  <si>
    <t xml:space="preserve">NETWORKDAYS</t>
  </si>
  <si>
    <t xml:space="preserve">'NETWORKDAYS(F2,F11)</t>
  </si>
  <si>
    <t xml:space="preserve">DATEDIF-like</t>
  </si>
  <si>
    <t xml:space="preserve">'DAYS360(F2,F11)</t>
  </si>
  <si>
    <t xml:space="preserve">PMT</t>
  </si>
  <si>
    <t xml:space="preserve">'PMT(0.05/12,360,200000)</t>
  </si>
  <si>
    <t xml:space="preserve">FV and PV</t>
  </si>
  <si>
    <t xml:space="preserve">'FV(0.04,10,-100,0,0)+PV(0.04,10,-100,0,0)</t>
  </si>
  <si>
    <t xml:space="preserve">NPV and IRR</t>
  </si>
  <si>
    <t xml:space="preserve">'NPV(0.1,D2:D5)</t>
  </si>
  <si>
    <t xml:space="preserve">RATE</t>
  </si>
  <si>
    <t xml:space="preserve">'RATE(120,-1000,100000)</t>
  </si>
  <si>
    <t xml:space="preserve">SLN and DDB</t>
  </si>
  <si>
    <t xml:space="preserve">'SLN(10000,1000,5)+DDB(10000,1000,5,1)</t>
  </si>
  <si>
    <t xml:space="preserve">CHOOSE</t>
  </si>
  <si>
    <t xml:space="preserve">'CHOOSE(2,"a","b","c")</t>
  </si>
  <si>
    <t xml:space="preserve">OFFSET</t>
  </si>
  <si>
    <t xml:space="preserve">'OFFSET(D2,2,0)</t>
  </si>
  <si>
    <t xml:space="preserve">INDIRECT</t>
  </si>
  <si>
    <t xml:space="preserve">'INDIRECT("D2")</t>
  </si>
  <si>
    <t xml:space="preserve">RANK and LARGE</t>
  </si>
  <si>
    <t xml:space="preserve">'RANK(D2,D2:D11)+LARGE(D2:D11,2)</t>
  </si>
  <si>
    <t xml:space="preserve">PERCENTILE</t>
  </si>
  <si>
    <t xml:space="preserve">'PERCENTILE(D2:D11,0.75)</t>
  </si>
  <si>
    <t xml:space="preserve">CORREL and SLOPE</t>
  </si>
  <si>
    <t xml:space="preserve">'CORREL(D2:D11,E2:E11)+SLOPE(D2:D11,E2:E11)</t>
  </si>
  <si>
    <t xml:space="preserve">FORECAST</t>
  </si>
  <si>
    <t xml:space="preserve">'FORECAST(11,D2:D11,E2:E11)</t>
  </si>
  <si>
    <t xml:space="preserve">NORMDIST</t>
  </si>
  <si>
    <t xml:space="preserve">'NORMDIST(1.5,0,1,TRUE())</t>
  </si>
  <si>
    <t xml:space="preserve">BINOMDIST</t>
  </si>
  <si>
    <t xml:space="preserve">'BINOMDIST(3,10,0.5,FALSE())</t>
  </si>
  <si>
    <t xml:space="preserve">CHIDIST</t>
  </si>
  <si>
    <t xml:space="preserve">'CHIDIST(3.84,1)</t>
  </si>
  <si>
    <t xml:space="preserve">An array formula</t>
  </si>
  <si>
    <t xml:space="preserve">'SUM(D2:D11*E2:E11)</t>
  </si>
  <si>
    <t xml:space="preserve">ISNUMBER and ISTEXT</t>
  </si>
  <si>
    <t xml:space="preserve">'IF(ISNUMBER(D2),1,0)+IF(ISTEXT(B2),1,0)</t>
  </si>
  <si>
    <t xml:space="preserve">ISERROR</t>
  </si>
  <si>
    <t xml:space="preserve">'IF(ISERROR(1/0),"caught","no")</t>
  </si>
  <si>
    <t xml:space="preserve">Nested references</t>
  </si>
  <si>
    <t xml:space="preserve">'SUM(D2:INDEX(D2:D11,5))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</si>
</sst>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yyyy\-mm\-dd"/>
    <numFmt numFmtId="167" formatCode="[$kr-414]\ #,##0.00;[RED]\-[$kr-414]\ #,##0.00"/>
    <numFmt numFmtId="168" formatCode="0.00%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F497D"/>
      </bottom>
      <diagonal/>
    </border>
    <border diagonalUp="false" diagonalDown="false"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" min="1" style="0" width="18.1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n">
        <v>1</v>
      </c>
      <c r="B2" s="0" t="s">
        <v>6</v>
      </c>
      <c r="C2" s="0" t="s">
        <v>7</v>
      </c>
      <c r="D2" s="2" t="n">
        <v>125.5</v>
      </c>
      <c r="E2" s="0" t="n">
        <v>12</v>
      </c>
      <c r="F2" s="3" t="n">
        <v>46027</v>
      </c>
    </row>
    <row r="3" customFormat="false" ht="12.8" hidden="false" customHeight="false" outlineLevel="0" collapsed="false">
      <c r="A3" s="0" t="n">
        <v>2</v>
      </c>
      <c r="B3" s="0" t="s">
        <v>8</v>
      </c>
      <c r="C3" s="0" t="s">
        <v>9</v>
      </c>
      <c r="D3" s="2" t="n">
        <v>890.25</v>
      </c>
      <c r="E3" s="0" t="n">
        <v>45</v>
      </c>
      <c r="F3" s="3" t="n">
        <v>46041</v>
      </c>
    </row>
    <row r="4" customFormat="false" ht="12.8" hidden="false" customHeight="false" outlineLevel="0" collapsed="false">
      <c r="A4" s="0" t="n">
        <v>3</v>
      </c>
      <c r="B4" s="0" t="s">
        <v>10</v>
      </c>
      <c r="C4" s="0" t="s">
        <v>7</v>
      </c>
      <c r="D4" s="2" t="n">
        <v>45</v>
      </c>
      <c r="E4" s="0" t="n">
        <v>3</v>
      </c>
      <c r="F4" s="3" t="n">
        <v>46055</v>
      </c>
    </row>
    <row r="5" customFormat="false" ht="12.8" hidden="false" customHeight="false" outlineLevel="0" collapsed="false">
      <c r="A5" s="0" t="n">
        <v>4</v>
      </c>
      <c r="B5" s="0" t="s">
        <v>11</v>
      </c>
      <c r="C5" s="0" t="s">
        <v>12</v>
      </c>
      <c r="D5" s="2" t="n">
        <v>612.75</v>
      </c>
      <c r="E5" s="0" t="n">
        <v>30</v>
      </c>
      <c r="F5" s="3" t="n">
        <v>46069</v>
      </c>
    </row>
    <row r="6" customFormat="false" ht="12.8" hidden="false" customHeight="false" outlineLevel="0" collapsed="false">
      <c r="A6" s="0" t="n">
        <v>5</v>
      </c>
      <c r="B6" s="0" t="s">
        <v>13</v>
      </c>
      <c r="C6" s="0" t="s">
        <v>9</v>
      </c>
      <c r="D6" s="2" t="n">
        <v>233.1</v>
      </c>
      <c r="E6" s="0" t="n">
        <v>18</v>
      </c>
      <c r="F6" s="3" t="n">
        <v>46083</v>
      </c>
    </row>
    <row r="7" customFormat="false" ht="12.8" hidden="false" customHeight="false" outlineLevel="0" collapsed="false">
      <c r="A7" s="0" t="n">
        <v>6</v>
      </c>
      <c r="B7" s="0" t="s">
        <v>14</v>
      </c>
      <c r="C7" s="0" t="s">
        <v>7</v>
      </c>
      <c r="D7" s="2" t="n">
        <v>1050</v>
      </c>
      <c r="E7" s="0" t="n">
        <v>60</v>
      </c>
      <c r="F7" s="3" t="n">
        <v>46097</v>
      </c>
    </row>
    <row r="8" customFormat="false" ht="12.8" hidden="false" customHeight="false" outlineLevel="0" collapsed="false">
      <c r="A8" s="0" t="n">
        <v>7</v>
      </c>
      <c r="B8" s="0" t="s">
        <v>15</v>
      </c>
      <c r="C8" s="0" t="s">
        <v>16</v>
      </c>
      <c r="D8" s="2" t="n">
        <v>78.4</v>
      </c>
      <c r="E8" s="0" t="n">
        <v>6</v>
      </c>
      <c r="F8" s="3" t="n">
        <v>46118</v>
      </c>
    </row>
    <row r="9" customFormat="false" ht="12.8" hidden="false" customHeight="false" outlineLevel="0" collapsed="false">
      <c r="A9" s="0" t="n">
        <v>8</v>
      </c>
      <c r="B9" s="0" t="s">
        <v>17</v>
      </c>
      <c r="C9" s="0" t="s">
        <v>9</v>
      </c>
      <c r="D9" s="2" t="n">
        <v>340.6</v>
      </c>
      <c r="E9" s="0" t="n">
        <v>24</v>
      </c>
      <c r="F9" s="3" t="n">
        <v>46132</v>
      </c>
    </row>
    <row r="10" customFormat="false" ht="12.8" hidden="false" customHeight="false" outlineLevel="0" collapsed="false">
      <c r="A10" s="0" t="n">
        <v>9</v>
      </c>
      <c r="B10" s="0" t="s">
        <v>18</v>
      </c>
      <c r="C10" s="0" t="s">
        <v>7</v>
      </c>
      <c r="D10" s="2" t="n">
        <v>199.99</v>
      </c>
      <c r="E10" s="0" t="n">
        <v>15</v>
      </c>
      <c r="F10" s="3" t="n">
        <v>46146</v>
      </c>
    </row>
    <row r="11" customFormat="false" ht="12.8" hidden="false" customHeight="false" outlineLevel="0" collapsed="false">
      <c r="A11" s="0" t="n">
        <v>10</v>
      </c>
      <c r="B11" s="0" t="s">
        <v>19</v>
      </c>
      <c r="C11" s="0" t="s">
        <v>12</v>
      </c>
      <c r="D11" s="2" t="n">
        <v>505</v>
      </c>
      <c r="E11" s="0" t="n">
        <v>33</v>
      </c>
      <c r="F11" s="3" t="n">
        <v>46160</v>
      </c>
    </row>
    <row r="13" customFormat="false" ht="12.8" hidden="false" customHeight="false" outlineLevel="0" collapsed="false">
      <c r="A13" s="1" t="s">
        <v>20</v>
      </c>
      <c r="B13" s="1" t="s">
        <v>21</v>
      </c>
      <c r="C13" s="1" t="s">
        <v>22</v>
      </c>
    </row>
    <row r="14" customFormat="false" ht="12.8" hidden="false" customHeight="false" outlineLevel="0" collapsed="false">
      <c r="A14" s="0" t="s">
        <v>23</v>
      </c>
      <c r="B14" s="0" t="s">
        <v>24</v>
      </c>
      <c r="C14" s="0" t="n">
        <f aca="false">SUM(D2:D11)</f>
        <v>4080.59</v>
      </c>
    </row>
    <row r="15" customFormat="false" ht="12.8" hidden="false" customHeight="false" outlineLevel="0" collapsed="false">
      <c r="A15" s="0" t="s">
        <v>25</v>
      </c>
      <c r="B15" s="0" t="s">
        <v>26</v>
      </c>
      <c r="C15" s="0" t="n">
        <f aca="false">AVERAGE(D2:D11)</f>
        <v>408.059</v>
      </c>
    </row>
    <row r="16" customFormat="false" ht="12.8" hidden="false" customHeight="false" outlineLevel="0" collapsed="false">
      <c r="A16" s="0" t="s">
        <v>27</v>
      </c>
      <c r="B16" s="0" t="s">
        <v>28</v>
      </c>
      <c r="C16" s="0" t="n">
        <f aca="false">MEDIAN(D2:D11)</f>
        <v>286.85</v>
      </c>
    </row>
    <row r="17" customFormat="false" ht="12.8" hidden="false" customHeight="false" outlineLevel="0" collapsed="false">
      <c r="A17" s="0" t="s">
        <v>29</v>
      </c>
      <c r="B17" s="0" t="s">
        <v>30</v>
      </c>
      <c r="C17" s="0" t="n">
        <f aca="false">STDEV(D2:D11)</f>
        <v>348.755395066195</v>
      </c>
    </row>
    <row r="18" customFormat="false" ht="12.8" hidden="false" customHeight="false" outlineLevel="0" collapsed="false">
      <c r="A18" s="0" t="s">
        <v>31</v>
      </c>
      <c r="B18" s="0" t="s">
        <v>32</v>
      </c>
      <c r="C18" s="0" t="n">
        <f aca="false">MIN(D2:D11)*MAX(D2:D11)</f>
        <v>47250</v>
      </c>
    </row>
    <row r="19" customFormat="false" ht="12.8" hidden="false" customHeight="false" outlineLevel="0" collapsed="false">
      <c r="A19" s="0" t="s">
        <v>33</v>
      </c>
      <c r="B19" s="0" t="s">
        <v>34</v>
      </c>
      <c r="C19" s="0" t="n">
        <f aca="false">COUNT(D2:D11)+COUNTA(B2:B11)</f>
        <v>20</v>
      </c>
    </row>
    <row r="20" customFormat="false" ht="12.8" hidden="false" customHeight="false" outlineLevel="0" collapsed="false">
      <c r="A20" s="0" t="s">
        <v>35</v>
      </c>
      <c r="B20" s="0" t="s">
        <v>36</v>
      </c>
      <c r="C20" s="0" t="n">
        <f aca="false">COUNTIF(C2:C11,"North")</f>
        <v>4</v>
      </c>
    </row>
    <row r="21" customFormat="false" ht="12.8" hidden="false" customHeight="false" outlineLevel="0" collapsed="false">
      <c r="A21" s="0" t="s">
        <v>37</v>
      </c>
      <c r="B21" s="0" t="s">
        <v>38</v>
      </c>
      <c r="C21" s="0" t="n">
        <f aca="false">SUMIF(C2:C11,"North",D2:D11)</f>
        <v>1420.49</v>
      </c>
    </row>
    <row r="22" customFormat="false" ht="12.8" hidden="false" customHeight="false" outlineLevel="0" collapsed="false">
      <c r="A22" s="0" t="s">
        <v>39</v>
      </c>
      <c r="B22" s="0" t="s">
        <v>40</v>
      </c>
      <c r="C22" s="0" t="n">
        <f aca="false">SUMIFS(D2:D11,C2:C11,"South",D2:D11,"&gt;100")</f>
        <v>1463.95</v>
      </c>
    </row>
    <row r="23" customFormat="false" ht="12.8" hidden="false" customHeight="false" outlineLevel="0" collapsed="false">
      <c r="A23" s="0" t="s">
        <v>41</v>
      </c>
      <c r="B23" s="0" t="s">
        <v>42</v>
      </c>
      <c r="C23" s="0" t="n">
        <f aca="false">AVERAGEIF(C2:C11,"North",D2:D11)</f>
        <v>355.1225</v>
      </c>
    </row>
    <row r="24" customFormat="false" ht="12.8" hidden="false" customHeight="false" outlineLevel="0" collapsed="false">
      <c r="A24" s="0" t="s">
        <v>43</v>
      </c>
      <c r="B24" s="0" t="s">
        <v>44</v>
      </c>
      <c r="C24" s="0" t="n">
        <f aca="false">SUMPRODUCT(D2:D11,E2:E11)</f>
        <v>155590.2</v>
      </c>
    </row>
    <row r="25" customFormat="false" ht="12.8" hidden="false" customHeight="false" outlineLevel="0" collapsed="false">
      <c r="A25" s="0" t="s">
        <v>45</v>
      </c>
      <c r="B25" s="0" t="s">
        <v>46</v>
      </c>
      <c r="C25" s="0" t="n">
        <f aca="false">VLOOKUP("Gadget",B2:D11,3,FALSE())</f>
        <v>890.25</v>
      </c>
    </row>
    <row r="26" customFormat="false" ht="12.8" hidden="false" customHeight="false" outlineLevel="0" collapsed="false">
      <c r="A26" s="0" t="s">
        <v>47</v>
      </c>
      <c r="B26" s="0" t="s">
        <v>48</v>
      </c>
      <c r="C26" s="4" t="n">
        <f aca="false">INDEX(D2:D11,MATCH("Widget",B2:B11,0))</f>
        <v>125.5</v>
      </c>
    </row>
    <row r="27" customFormat="false" ht="12.8" hidden="false" customHeight="false" outlineLevel="0" collapsed="false">
      <c r="A27" s="0" t="s">
        <v>49</v>
      </c>
      <c r="B27" s="0" t="s">
        <v>50</v>
      </c>
      <c r="C27" s="0" t="str">
        <f aca="false">IF(AND(D2&gt;100,C2="North"),"yes","no")</f>
        <v>yes</v>
      </c>
    </row>
    <row r="28" customFormat="false" ht="12.8" hidden="false" customHeight="false" outlineLevel="0" collapsed="false">
      <c r="A28" s="0" t="s">
        <v>51</v>
      </c>
      <c r="B28" s="0" t="s">
        <v>52</v>
      </c>
      <c r="C28" s="0" t="str">
        <f aca="false">IF(D2&gt;500,"big",IF(D2&gt;100,"middling","small"))</f>
        <v>middling</v>
      </c>
    </row>
    <row r="29" customFormat="false" ht="12.8" hidden="false" customHeight="false" outlineLevel="0" collapsed="false">
      <c r="A29" s="0" t="s">
        <v>53</v>
      </c>
      <c r="B29" s="0" t="s">
        <v>54</v>
      </c>
      <c r="C29" s="0" t="n">
        <f aca="false">ROUND(D2,1)+ROUNDUP(D3,0)+ROUNDDOWN(D4,0)</f>
        <v>1061.5</v>
      </c>
    </row>
    <row r="30" customFormat="false" ht="12.8" hidden="false" customHeight="false" outlineLevel="0" collapsed="false">
      <c r="A30" s="0" t="s">
        <v>55</v>
      </c>
      <c r="B30" s="0" t="s">
        <v>56</v>
      </c>
      <c r="C30" s="0" t="n">
        <f aca="false">MOD(17,5)*INT(7.9)</f>
        <v>14</v>
      </c>
    </row>
    <row r="31" customFormat="false" ht="12.8" hidden="false" customHeight="false" outlineLevel="0" collapsed="false">
      <c r="A31" s="0" t="s">
        <v>57</v>
      </c>
      <c r="B31" s="0" t="s">
        <v>58</v>
      </c>
      <c r="C31" s="0" t="n">
        <f aca="false">POWER(2,10)+SQRT(144)</f>
        <v>1036</v>
      </c>
    </row>
    <row r="32" customFormat="false" ht="12.8" hidden="false" customHeight="false" outlineLevel="0" collapsed="false">
      <c r="A32" s="0" t="s">
        <v>59</v>
      </c>
      <c r="B32" s="0" t="s">
        <v>60</v>
      </c>
      <c r="C32" s="0" t="n">
        <f aca="false">LN(EXP(3))+LOG10(1000)</f>
        <v>6</v>
      </c>
    </row>
    <row r="33" customFormat="false" ht="12.8" hidden="false" customHeight="false" outlineLevel="0" collapsed="false">
      <c r="A33" s="0" t="s">
        <v>61</v>
      </c>
      <c r="B33" s="0" t="s">
        <v>62</v>
      </c>
      <c r="C33" s="0" t="n">
        <f aca="false">SIN(PI()/6)+COS(0)+TAN(PI()/4)</f>
        <v>2.5</v>
      </c>
    </row>
    <row r="34" customFormat="false" ht="12.8" hidden="false" customHeight="false" outlineLevel="0" collapsed="false">
      <c r="A34" s="0" t="s">
        <v>63</v>
      </c>
      <c r="B34" s="0" t="s">
        <v>64</v>
      </c>
      <c r="C34" s="0" t="str">
        <f aca="false">TEXT(1234.567,"#,##0.00")</f>
        <v>1 234,57</v>
      </c>
    </row>
    <row r="35" customFormat="false" ht="12.8" hidden="false" customHeight="false" outlineLevel="0" collapsed="false">
      <c r="A35" s="0" t="s">
        <v>65</v>
      </c>
      <c r="B35" s="0" t="s">
        <v>66</v>
      </c>
      <c r="C35" s="0" t="str">
        <f aca="false">CONCATENATE(B2," in ",C2)</f>
        <v>Widget in North</v>
      </c>
    </row>
    <row r="36" customFormat="false" ht="12.8" hidden="false" customHeight="false" outlineLevel="0" collapsed="false">
      <c r="A36" s="0" t="s">
        <v>67</v>
      </c>
      <c r="B36" s="0" t="s">
        <v>68</v>
      </c>
      <c r="C36" s="0" t="str">
        <f aca="false">LEFT(B2,3)&amp;MID(B2,2,2)&amp;RIGHT(B2,2)</f>
        <v>Wididet</v>
      </c>
    </row>
    <row r="37" customFormat="false" ht="12.8" hidden="false" customHeight="false" outlineLevel="0" collapsed="false">
      <c r="A37" s="0" t="s">
        <v>69</v>
      </c>
      <c r="B37" s="0" t="s">
        <v>70</v>
      </c>
      <c r="C37" s="0" t="str">
        <f aca="false">LEN(TRIM("  a b  "))&amp;UPPER("x")</f>
        <v>3X</v>
      </c>
    </row>
    <row r="38" customFormat="false" ht="12.8" hidden="false" customHeight="false" outlineLevel="0" collapsed="false">
      <c r="A38" s="0" t="s">
        <v>71</v>
      </c>
      <c r="B38" s="0" t="s">
        <v>72</v>
      </c>
      <c r="C38" s="0" t="str">
        <f aca="false">SUBSTITUTE("a-b-c","-","+")</f>
        <v>a+b+c</v>
      </c>
    </row>
    <row r="39" customFormat="false" ht="12.8" hidden="false" customHeight="false" outlineLevel="0" collapsed="false">
      <c r="A39" s="0" t="s">
        <v>73</v>
      </c>
      <c r="B39" s="0" t="s">
        <v>74</v>
      </c>
      <c r="C39" s="0" t="n">
        <f aca="false">FIND("d",B2)+SEARCH("D",B2)</f>
        <v>6</v>
      </c>
    </row>
    <row r="40" customFormat="false" ht="12.8" hidden="false" customHeight="false" outlineLevel="0" collapsed="false">
      <c r="A40" s="0" t="s">
        <v>75</v>
      </c>
      <c r="B40" s="0" t="s">
        <v>76</v>
      </c>
      <c r="C40" s="0" t="n">
        <f aca="false">YEAR(F2)*10000+MONTH(F2)*100+DAY(F2)</f>
        <v>20260105</v>
      </c>
    </row>
    <row r="41" customFormat="false" ht="12.8" hidden="false" customHeight="false" outlineLevel="0" collapsed="false">
      <c r="A41" s="0" t="s">
        <v>77</v>
      </c>
      <c r="B41" s="0" t="s">
        <v>78</v>
      </c>
      <c r="C41" s="0" t="n">
        <f aca="false">DAY(EOMONTH(F2,1))</f>
        <v>28</v>
      </c>
    </row>
    <row r="42" customFormat="false" ht="12.8" hidden="false" customHeight="false" outlineLevel="0" collapsed="false">
      <c r="A42" s="0" t="s">
        <v>79</v>
      </c>
      <c r="B42" s="0" t="s">
        <v>80</v>
      </c>
      <c r="C42" s="0" t="n">
        <f aca="false">WEEKDAY(F2,2)</f>
        <v>1</v>
      </c>
    </row>
    <row r="43" customFormat="false" ht="12.8" hidden="false" customHeight="false" outlineLevel="0" collapsed="false">
      <c r="A43" s="0" t="s">
        <v>81</v>
      </c>
      <c r="B43" s="0" t="s">
        <v>82</v>
      </c>
      <c r="C43" s="0" t="n">
        <f aca="false">NETWORKDAYS(F2,F11)</f>
        <v>96</v>
      </c>
    </row>
    <row r="44" customFormat="false" ht="12.8" hidden="false" customHeight="false" outlineLevel="0" collapsed="false">
      <c r="A44" s="0" t="s">
        <v>83</v>
      </c>
      <c r="B44" s="0" t="s">
        <v>84</v>
      </c>
      <c r="C44" s="0" t="n">
        <f aca="false">DAYS360(F2,F11)</f>
        <v>133</v>
      </c>
    </row>
    <row r="45" customFormat="false" ht="12.8" hidden="false" customHeight="false" outlineLevel="0" collapsed="false">
      <c r="A45" s="0" t="s">
        <v>85</v>
      </c>
      <c r="B45" s="0" t="s">
        <v>86</v>
      </c>
      <c r="C45" s="5" t="n">
        <f aca="false">PMT(0.05/12,360,200000)</f>
        <v>-1073.64324602428</v>
      </c>
    </row>
    <row r="46" customFormat="false" ht="12.8" hidden="false" customHeight="false" outlineLevel="0" collapsed="false">
      <c r="A46" s="0" t="s">
        <v>87</v>
      </c>
      <c r="B46" s="0" t="s">
        <v>88</v>
      </c>
      <c r="C46" s="5" t="n">
        <f aca="false">FV(0.04,10,-100,0,0)+PV(0.04,10,-100,0,0)</f>
        <v>2011.70029023136</v>
      </c>
    </row>
    <row r="47" customFormat="false" ht="12.8" hidden="false" customHeight="false" outlineLevel="0" collapsed="false">
      <c r="A47" s="0" t="s">
        <v>89</v>
      </c>
      <c r="B47" s="0" t="s">
        <v>90</v>
      </c>
      <c r="C47" s="5" t="n">
        <f aca="false">NPV(0.1,D2:D5)</f>
        <v>1302.16037155932</v>
      </c>
    </row>
    <row r="48" customFormat="false" ht="12.8" hidden="false" customHeight="false" outlineLevel="0" collapsed="false">
      <c r="A48" s="0" t="s">
        <v>91</v>
      </c>
      <c r="B48" s="0" t="s">
        <v>92</v>
      </c>
      <c r="C48" s="6" t="n">
        <f aca="false">RATE(120,-1000,100000)</f>
        <v>0.00311418194602181</v>
      </c>
    </row>
    <row r="49" customFormat="false" ht="12.8" hidden="false" customHeight="false" outlineLevel="0" collapsed="false">
      <c r="A49" s="0" t="s">
        <v>93</v>
      </c>
      <c r="B49" s="0" t="s">
        <v>94</v>
      </c>
      <c r="C49" s="5" t="n">
        <f aca="false">SLN(10000,1000,5)+DDB(10000,1000,5,1)</f>
        <v>5800</v>
      </c>
    </row>
    <row r="50" customFormat="false" ht="12.8" hidden="false" customHeight="false" outlineLevel="0" collapsed="false">
      <c r="A50" s="0" t="s">
        <v>95</v>
      </c>
      <c r="B50" s="0" t="s">
        <v>96</v>
      </c>
      <c r="C50" s="0" t="str">
        <f aca="false">CHOOSE(2,"a","b","c")</f>
        <v>b</v>
      </c>
    </row>
    <row r="51" customFormat="false" ht="12.8" hidden="false" customHeight="false" outlineLevel="0" collapsed="false">
      <c r="A51" s="0" t="s">
        <v>97</v>
      </c>
      <c r="B51" s="0" t="s">
        <v>98</v>
      </c>
      <c r="C51" s="4" t="n">
        <f aca="true">OFFSET(D2,2,0)</f>
        <v>45</v>
      </c>
    </row>
    <row r="52" customFormat="false" ht="12.8" hidden="false" customHeight="false" outlineLevel="0" collapsed="false">
      <c r="A52" s="0" t="s">
        <v>99</v>
      </c>
      <c r="B52" s="0" t="s">
        <v>100</v>
      </c>
      <c r="C52" s="4" t="n">
        <f aca="true">INDIRECT("D2")</f>
        <v>125.5</v>
      </c>
    </row>
    <row r="53" customFormat="false" ht="12.8" hidden="false" customHeight="false" outlineLevel="0" collapsed="false">
      <c r="A53" s="0" t="s">
        <v>101</v>
      </c>
      <c r="B53" s="0" t="s">
        <v>102</v>
      </c>
      <c r="C53" s="0" t="n">
        <f aca="false">RANK(D2,D2:D11)+LARGE(D2:D11,2)</f>
        <v>898.25</v>
      </c>
    </row>
    <row r="54" customFormat="false" ht="12.8" hidden="false" customHeight="false" outlineLevel="0" collapsed="false">
      <c r="A54" s="0" t="s">
        <v>103</v>
      </c>
      <c r="B54" s="0" t="s">
        <v>104</v>
      </c>
      <c r="C54" s="0" t="n">
        <f aca="false">PERCENTILE(D2:D11,0.75)</f>
        <v>585.8125</v>
      </c>
    </row>
    <row r="55" customFormat="false" ht="12.8" hidden="false" customHeight="false" outlineLevel="0" collapsed="false">
      <c r="A55" s="0" t="s">
        <v>105</v>
      </c>
      <c r="B55" s="0" t="s">
        <v>106</v>
      </c>
      <c r="C55" s="0" t="n">
        <f aca="false">CORREL(D2:D11,E2:E11)+SLOPE(D2:D11,E2:E11)</f>
        <v>20.177185740567</v>
      </c>
    </row>
    <row r="56" customFormat="false" ht="12.8" hidden="false" customHeight="false" outlineLevel="0" collapsed="false">
      <c r="A56" s="0" t="s">
        <v>107</v>
      </c>
      <c r="B56" s="0" t="s">
        <v>108</v>
      </c>
      <c r="C56" s="0" t="n">
        <f aca="false">FORECAST(11,D2:D11,E2:E11)</f>
        <v>147.02975177305</v>
      </c>
    </row>
    <row r="57" customFormat="false" ht="12.8" hidden="false" customHeight="false" outlineLevel="0" collapsed="false">
      <c r="A57" s="0" t="s">
        <v>109</v>
      </c>
      <c r="B57" s="0" t="s">
        <v>110</v>
      </c>
      <c r="C57" s="0" t="n">
        <f aca="false">NORMDIST(1.5,0,1,TRUE())</f>
        <v>0.933192798731142</v>
      </c>
    </row>
    <row r="58" customFormat="false" ht="12.8" hidden="false" customHeight="false" outlineLevel="0" collapsed="false">
      <c r="A58" s="0" t="s">
        <v>111</v>
      </c>
      <c r="B58" s="0" t="s">
        <v>112</v>
      </c>
      <c r="C58" s="0" t="n">
        <f aca="false">BINOMDIST(3,10,0.5,FALSE())</f>
        <v>0.1171875</v>
      </c>
    </row>
    <row r="59" customFormat="false" ht="12.8" hidden="false" customHeight="false" outlineLevel="0" collapsed="false">
      <c r="A59" s="0" t="s">
        <v>113</v>
      </c>
      <c r="B59" s="0" t="s">
        <v>114</v>
      </c>
      <c r="C59" s="0" t="e">
        <f aca="false">chidist(3.84,1)</f>
        <v>#NAME?</v>
      </c>
    </row>
    <row r="60" customFormat="false" ht="12.8" hidden="false" customHeight="false" outlineLevel="0" collapsed="false">
      <c r="A60" s="0" t="s">
        <v>115</v>
      </c>
      <c r="B60" s="0" t="s">
        <v>116</v>
      </c>
      <c r="C60" s="0" t="e">
        <f aca="false">SUM(D2:D11*E2:E11)</f>
        <v>#VALUE!</v>
      </c>
    </row>
    <row r="61" customFormat="false" ht="12.8" hidden="false" customHeight="false" outlineLevel="0" collapsed="false">
      <c r="A61" s="0" t="s">
        <v>117</v>
      </c>
      <c r="B61" s="0" t="s">
        <v>118</v>
      </c>
      <c r="C61" s="0" t="n">
        <f aca="false">IF(ISNUMBER(D2),1,0)+IF(ISTEXT(B2),1,0)</f>
        <v>2</v>
      </c>
    </row>
    <row r="62" customFormat="false" ht="12.8" hidden="false" customHeight="false" outlineLevel="0" collapsed="false">
      <c r="A62" s="0" t="s">
        <v>119</v>
      </c>
      <c r="B62" s="0" t="s">
        <v>120</v>
      </c>
      <c r="C62" s="0" t="str">
        <f aca="false">IF(ISERROR(1/0),"caught","no")</f>
        <v>caught</v>
      </c>
    </row>
    <row r="63" customFormat="false" ht="12.8" hidden="false" customHeight="false" outlineLevel="0" collapsed="false">
      <c r="A63" s="0" t="s">
        <v>121</v>
      </c>
      <c r="B63" s="0" t="s">
        <v>122</v>
      </c>
      <c r="C63" s="0" t="n">
        <f aca="false">SUM(D2:INDEX(D2:D11,5))</f>
        <v>1906.6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Roman,Normal"&amp;12Side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nb-NO</dc:language>
  <cp:lastModifiedBy/>
  <cp:revision>0</cp:revision>
  <dc:subject/>
  <dc:title/>
</cp:coreProperties>
</file>